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ermir\OneDrive\Documentos\GitHub\mis-core\mis-change-over\docs\"/>
    </mc:Choice>
  </mc:AlternateContent>
  <xr:revisionPtr revIDLastSave="0" documentId="13_ncr:1_{D50BF944-8226-4ADE-8F8E-F7F38A49B0F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Matriz Linha x Recurs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2" i="1" l="1"/>
  <c r="N23" i="1" s="1"/>
  <c r="M22" i="1"/>
  <c r="M23" i="1" s="1"/>
  <c r="L22" i="1"/>
  <c r="L23" i="1" s="1"/>
  <c r="K22" i="1"/>
  <c r="K23" i="1" s="1"/>
  <c r="J22" i="1"/>
  <c r="J23" i="1" s="1"/>
  <c r="I22" i="1"/>
  <c r="I23" i="1" s="1"/>
  <c r="H22" i="1"/>
  <c r="H23" i="1" s="1"/>
  <c r="G22" i="1"/>
  <c r="G23" i="1" s="1"/>
  <c r="F22" i="1"/>
  <c r="F23" i="1" s="1"/>
  <c r="E22" i="1"/>
  <c r="E23" i="1" s="1"/>
  <c r="D22" i="1"/>
  <c r="D23" i="1" s="1"/>
  <c r="C22" i="1"/>
  <c r="C23" i="1" s="1"/>
</calcChain>
</file>

<file path=xl/sharedStrings.xml><?xml version="1.0" encoding="utf-8"?>
<sst xmlns="http://schemas.openxmlformats.org/spreadsheetml/2006/main" count="236" uniqueCount="65">
  <si>
    <t>MIS Change Over  ·  Matriz de Recursos por Linha de Produção</t>
  </si>
  <si>
    <t xml:space="preserve">  ✓  Implementado</t>
  </si>
  <si>
    <t xml:space="preserve">  —  Não se aplica</t>
  </si>
  <si>
    <t>Preencha assim:  "✓"  ou  "✓ 15/03/2026" (feito)  ·  "30/06/2026" (previsto)  ·  "—" (n/a)</t>
  </si>
  <si>
    <t>CATEGORIA →</t>
  </si>
  <si>
    <t>CARTUCHO</t>
  </si>
  <si>
    <t>FLEXÍVEIS</t>
  </si>
  <si>
    <t>Recurso / Funcionalidade</t>
  </si>
  <si>
    <t>Descrição</t>
  </si>
  <si>
    <t>L01</t>
  </si>
  <si>
    <t>L02</t>
  </si>
  <si>
    <t>L06</t>
  </si>
  <si>
    <t>L09</t>
  </si>
  <si>
    <t>L10</t>
  </si>
  <si>
    <t>L16</t>
  </si>
  <si>
    <t>L15</t>
  </si>
  <si>
    <t>L17</t>
  </si>
  <si>
    <t>L18</t>
  </si>
  <si>
    <t>L19</t>
  </si>
  <si>
    <t>L20</t>
  </si>
  <si>
    <t>L21</t>
  </si>
  <si>
    <t>EXEMPLO — apague esta linha</t>
  </si>
  <si>
    <t>modelo de preenchimento (a cor é automática)</t>
  </si>
  <si>
    <t>✓</t>
  </si>
  <si>
    <t>—</t>
  </si>
  <si>
    <t>✓ 01/02/2026</t>
  </si>
  <si>
    <t>✓ 10/04/2026</t>
  </si>
  <si>
    <t>30/09/2026</t>
  </si>
  <si>
    <t>✓ 22/05/2026</t>
  </si>
  <si>
    <t>Troca Automática de SKU</t>
  </si>
  <si>
    <t>Sinalização de Primeira Rodada</t>
  </si>
  <si>
    <t>Detecta e sinaliza a 1ª vez que um SKU roda na linha</t>
  </si>
  <si>
    <t>Impressora 3M (etiqueta SMB)</t>
  </si>
  <si>
    <t>Envio de dados de etiqueta para impressora 3M via SMB</t>
  </si>
  <si>
    <t>Impressora Inkjet (SLA socket)</t>
  </si>
  <si>
    <t>Envio de comando SLA para impressora inkjet via socket TCP</t>
  </si>
  <si>
    <t>Monitor de Receita / Centerline</t>
  </si>
  <si>
    <t>Leitura OPC contínua e comparação valor atual do CLP × receita</t>
  </si>
  <si>
    <t>Sincronismo de Receita (CLP→cadastro)</t>
  </si>
  <si>
    <t>Grava valores lidos do CLP na receita do formato (TIM/Eng/Coord)</t>
  </si>
  <si>
    <t>Intertravamentos</t>
  </si>
  <si>
    <t>Monitoramento OPC de controles críticos e detecção de bypass</t>
  </si>
  <si>
    <t>Validação de Qualidade</t>
  </si>
  <si>
    <t>Timer de produção real + escrita de sinal OPC ao expirar o prazo</t>
  </si>
  <si>
    <t>Liberação SAP</t>
  </si>
  <si>
    <t>Bloqueio de troca sem validação da lista técnica (grupo SAP)</t>
  </si>
  <si>
    <t>Status do Produto</t>
  </si>
  <si>
    <t>Leitura do status da linha e SKU atual via OPC</t>
  </si>
  <si>
    <t>Andretti / KPI Velocidade</t>
  </si>
  <si>
    <t>Meta de velocidade por formato + leituras de velocidade</t>
  </si>
  <si>
    <t>Comunicação / Chat de Turno</t>
  </si>
  <si>
    <t>Mensagens entre operadores por linha, menções e resumo</t>
  </si>
  <si>
    <t>Discrepância de SKU</t>
  </si>
  <si>
    <t>Registro de divergência entre SKU esperado e SKU atual</t>
  </si>
  <si>
    <t>Associação Produto-Linha-Formato</t>
  </si>
  <si>
    <t>Cadastro que liga Produto → Linha → Formato/Receita</t>
  </si>
  <si>
    <t>Implementados (✓)</t>
  </si>
  <si>
    <t>de 14 recursos</t>
  </si>
  <si>
    <t>% Implementado</t>
  </si>
  <si>
    <t>por linha</t>
  </si>
  <si>
    <t>✗</t>
  </si>
  <si>
    <t xml:space="preserve">  ◐  Em implementação  ·  dd/mm previsto</t>
  </si>
  <si>
    <t>◐</t>
  </si>
  <si>
    <t>Atualizado em:  24 /07 / 2026</t>
  </si>
  <si>
    <t>Escrita das variáveis do produto no CLP ao trocar o 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</si>
</sst>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5"/>
      <color rgb="FFFFFFFF"/>
      <name val="Arial"/>
    </font>
    <font>
      <b/>
      <sz val="10"/>
      <color rgb="FF6C757D"/>
      <name val="Arial"/>
    </font>
    <font>
      <sz val="9"/>
      <color rgb="FF444444"/>
      <name val="Arial"/>
    </font>
    <font>
      <sz val="10"/>
      <color rgb="FF000000"/>
      <name val="Arial"/>
    </font>
    <font>
      <b/>
      <sz val="9"/>
      <color rgb="FFFFFFFF"/>
      <name val="Arial"/>
    </font>
    <font>
      <b/>
      <sz val="11"/>
      <color rgb="FFFFFFFF"/>
      <name val="Arial"/>
    </font>
    <font>
      <b/>
      <sz val="10"/>
      <color rgb="FFFFFFFF"/>
      <name val="Arial"/>
    </font>
    <font>
      <b/>
      <i/>
      <sz val="9"/>
      <color rgb="FF6C757D"/>
      <name val="Arial"/>
    </font>
    <font>
      <i/>
      <sz val="9"/>
      <color rgb="FF6C757D"/>
      <name val="Arial"/>
    </font>
    <font>
      <i/>
      <sz val="9"/>
      <color rgb="FF000000"/>
      <name val="Arial"/>
    </font>
    <font>
      <b/>
      <sz val="10"/>
      <color rgb="FF000000"/>
      <name val="Arial"/>
    </font>
    <font>
      <sz val="9"/>
      <color rgb="FF333333"/>
      <name val="Arial"/>
    </font>
    <font>
      <sz val="11"/>
      <color rgb="FF000000"/>
      <name val="Arial"/>
    </font>
    <font>
      <sz val="9"/>
      <color rgb="FFFFFFFF"/>
      <name val="Arial"/>
    </font>
    <font>
      <b/>
      <sz val="10"/>
      <color rgb="FF333333"/>
      <name val="Arial"/>
    </font>
    <font>
      <sz val="9"/>
      <color rgb="FF555555"/>
      <name val="Arial"/>
    </font>
    <font>
      <sz val="8"/>
      <name val="Calibri"/>
      <family val="2"/>
      <scheme val="minor"/>
    </font>
    <font>
      <b/>
      <sz val="10"/>
      <color rgb="FF0F5132"/>
      <name val="Arial"/>
    </font>
    <font>
      <b/>
      <sz val="10"/>
      <color rgb="FF842029"/>
      <name val="Arial"/>
    </font>
    <font>
      <b/>
      <sz val="10"/>
      <color rgb="FF664D03"/>
      <name val="Arial"/>
      <family val="2"/>
    </font>
    <font>
      <sz val="11"/>
      <color rgb="FF000000"/>
      <name val="Arial"/>
      <family val="2"/>
    </font>
    <font>
      <i/>
      <sz val="9"/>
      <color rgb="FF000000"/>
      <name val="Arial"/>
      <family val="2"/>
    </font>
    <font>
      <i/>
      <sz val="9"/>
      <color rgb="FF555555"/>
      <name val="Arial"/>
      <family val="2"/>
    </font>
    <font>
      <sz val="9"/>
      <color rgb="FF333333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1F3B6E"/>
      </patternFill>
    </fill>
    <fill>
      <patternFill patternType="solid">
        <fgColor rgb="FFFFF3CD"/>
      </patternFill>
    </fill>
    <fill>
      <patternFill patternType="solid">
        <fgColor rgb="FF3A4657"/>
      </patternFill>
    </fill>
    <fill>
      <patternFill patternType="solid">
        <fgColor rgb="FFF0F0F0"/>
      </patternFill>
    </fill>
    <fill>
      <patternFill patternType="solid">
        <fgColor rgb="FFFFFFFF"/>
      </patternFill>
    </fill>
    <fill>
      <patternFill patternType="solid">
        <fgColor rgb="FFF5F7FA"/>
      </patternFill>
    </fill>
    <fill>
      <patternFill patternType="solid">
        <fgColor rgb="FFD1E7DD"/>
        <bgColor indexed="64"/>
      </patternFill>
    </fill>
    <fill>
      <patternFill patternType="solid">
        <fgColor rgb="FF2E5A88"/>
        <bgColor indexed="64"/>
      </patternFill>
    </fill>
    <fill>
      <patternFill patternType="solid">
        <fgColor rgb="FFF8D7DA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E9ECEF"/>
        <bgColor indexed="64"/>
      </patternFill>
    </fill>
  </fills>
  <borders count="2">
    <border>
      <left/>
      <right/>
      <top/>
      <bottom/>
      <diagonal/>
    </border>
    <border>
      <left style="thin">
        <color rgb="FFC9CFD8"/>
      </left>
      <right style="thin">
        <color rgb="FFC9CFD8"/>
      </right>
      <top style="thin">
        <color rgb="FFC9CFD8"/>
      </top>
      <bottom style="thin">
        <color rgb="FFC9CFD8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4" fillId="4" borderId="0" xfId="0" applyFont="1" applyFill="1" applyAlignment="1">
      <alignment horizontal="left" vertical="center"/>
    </xf>
    <xf numFmtId="0" fontId="5" fillId="4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left" vertical="center" wrapText="1"/>
    </xf>
    <xf numFmtId="0" fontId="12" fillId="7" borderId="1" xfId="0" applyFont="1" applyFill="1" applyBorder="1" applyAlignment="1">
      <alignment horizontal="left" vertical="center" wrapText="1"/>
    </xf>
    <xf numFmtId="0" fontId="13" fillId="7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9" fontId="15" fillId="0" borderId="1" xfId="0" applyNumberFormat="1" applyFont="1" applyBorder="1" applyAlignment="1">
      <alignment horizontal="center" vertical="center"/>
    </xf>
    <xf numFmtId="0" fontId="0" fillId="0" borderId="0" xfId="0"/>
    <xf numFmtId="0" fontId="6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center" vertical="center"/>
    </xf>
    <xf numFmtId="0" fontId="19" fillId="10" borderId="0" xfId="0" applyFont="1" applyFill="1" applyAlignment="1">
      <alignment horizontal="center"/>
    </xf>
    <xf numFmtId="0" fontId="2" fillId="12" borderId="1" xfId="0" applyFont="1" applyFill="1" applyBorder="1" applyAlignment="1">
      <alignment horizontal="center" vertical="center"/>
    </xf>
    <xf numFmtId="0" fontId="20" fillId="11" borderId="1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6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15">
    <dxf>
      <font>
        <b val="0"/>
        <i val="0"/>
        <color rgb="FF664D03"/>
      </font>
      <fill>
        <patternFill patternType="solid">
          <fgColor indexed="64"/>
          <bgColor rgb="FFFFF3CD"/>
        </patternFill>
      </fill>
    </dxf>
    <dxf>
      <font>
        <b val="0"/>
        <i val="0"/>
        <color rgb="FF6C757D"/>
      </font>
      <fill>
        <patternFill patternType="solid">
          <fgColor indexed="64"/>
          <bgColor rgb="FFE9ECEF"/>
        </patternFill>
      </fill>
    </dxf>
    <dxf>
      <font>
        <b/>
        <i val="0"/>
        <color rgb="FF842029"/>
      </font>
      <fill>
        <patternFill patternType="solid">
          <fgColor indexed="64"/>
          <bgColor rgb="FFF8D7DA"/>
        </patternFill>
      </fill>
    </dxf>
    <dxf>
      <font>
        <b/>
        <i val="0"/>
        <color rgb="FF0F5132"/>
      </font>
      <fill>
        <patternFill patternType="solid">
          <fgColor indexed="64"/>
          <bgColor rgb="FFD1E7DD"/>
        </patternFill>
      </fill>
    </dxf>
    <dxf>
      <font>
        <b val="0"/>
        <i val="0"/>
        <color rgb="FF664D03"/>
      </font>
      <fill>
        <patternFill patternType="solid">
          <fgColor indexed="64"/>
          <bgColor rgb="FFFFF3CD"/>
        </patternFill>
      </fill>
    </dxf>
    <dxf>
      <font>
        <b val="0"/>
        <i val="0"/>
        <color rgb="FF6C757D"/>
      </font>
      <fill>
        <patternFill patternType="solid">
          <fgColor indexed="64"/>
          <bgColor rgb="FFE9ECEF"/>
        </patternFill>
      </fill>
    </dxf>
    <dxf>
      <font>
        <b/>
        <i val="0"/>
        <color rgb="FF842029"/>
      </font>
      <fill>
        <patternFill patternType="solid">
          <fgColor indexed="64"/>
          <bgColor rgb="FFF8D7DA"/>
        </patternFill>
      </fill>
    </dxf>
    <dxf>
      <font>
        <b/>
        <i val="0"/>
        <color rgb="FF0F5132"/>
      </font>
      <fill>
        <patternFill patternType="solid">
          <fgColor indexed="64"/>
          <bgColor rgb="FFD1E7DD"/>
        </patternFill>
      </fill>
    </dxf>
    <dxf>
      <font>
        <b val="0"/>
        <i val="0"/>
        <color rgb="FF664D03"/>
      </font>
      <fill>
        <patternFill patternType="solid">
          <fgColor indexed="64"/>
          <bgColor rgb="FFFFF3CD"/>
        </patternFill>
      </fill>
    </dxf>
    <dxf>
      <font>
        <b val="0"/>
        <i val="0"/>
        <color rgb="FF6C757D"/>
      </font>
      <fill>
        <patternFill patternType="solid">
          <fgColor indexed="64"/>
          <bgColor rgb="FFE9ECEF"/>
        </patternFill>
      </fill>
    </dxf>
    <dxf>
      <font>
        <b/>
        <i val="0"/>
        <color rgb="FF842029"/>
      </font>
      <fill>
        <patternFill patternType="solid">
          <fgColor indexed="64"/>
          <bgColor rgb="FFF8D7DA"/>
        </patternFill>
      </fill>
    </dxf>
    <dxf>
      <font>
        <b/>
        <i val="0"/>
        <color rgb="FF0F5132"/>
      </font>
      <fill>
        <patternFill patternType="solid">
          <fgColor indexed="64"/>
          <bgColor rgb="FFD1E7DD"/>
        </patternFill>
      </fill>
    </dxf>
    <dxf>
      <font>
        <b/>
        <color rgb="FF9C5A1B"/>
        <name val="Arial"/>
      </font>
      <fill>
        <patternFill patternType="solid">
          <fgColor rgb="FFFFE9CC"/>
        </patternFill>
      </fill>
    </dxf>
    <dxf>
      <font>
        <color rgb="FF6C757D"/>
        <name val="Arial"/>
      </font>
      <fill>
        <patternFill patternType="solid">
          <fgColor rgb="FFE2E3E5"/>
        </patternFill>
      </fill>
    </dxf>
    <dxf>
      <font>
        <b/>
        <color rgb="FF1A7E34"/>
        <name val="Arial"/>
      </font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0F87E09-D570-41E9-BDBC-505123158D75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5dfaeb46-cc70-41fb-b523-61daed59af8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pane xSplit="2" ySplit="6" topLeftCell="C8" activePane="bottomRight" state="frozen"/>
      <selection pane="topRight"/>
      <selection pane="bottomLeft"/>
      <selection pane="bottomRight" sqref="A1:N1"/>
    </sheetView>
  </sheetViews>
  <sheetFormatPr defaultRowHeight="14.5" x14ac:dyDescent="0.35"/>
  <cols>
    <col min="1" max="1" width="30" customWidth="1"/>
    <col min="2" max="2" width="48.81640625" bestFit="1" customWidth="1"/>
    <col min="3" max="5" width="5.36328125" bestFit="1" customWidth="1"/>
    <col min="6" max="6" width="4.7265625" customWidth="1"/>
    <col min="7" max="7" width="5.36328125" bestFit="1" customWidth="1"/>
    <col min="8" max="9" width="3.90625" bestFit="1" customWidth="1"/>
    <col min="10" max="10" width="4.1796875" customWidth="1"/>
    <col min="11" max="11" width="3.90625" bestFit="1" customWidth="1"/>
    <col min="12" max="12" width="3.81640625" customWidth="1"/>
    <col min="13" max="13" width="3.26953125" customWidth="1"/>
    <col min="14" max="14" width="3.90625" bestFit="1" customWidth="1"/>
  </cols>
  <sheetData>
    <row r="1" spans="1:14" ht="30" customHeight="1" x14ac:dyDescent="0.35">
      <c r="A1" s="22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6" customHeight="1" x14ac:dyDescent="0.35">
      <c r="A2" s="32" t="s">
        <v>63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</row>
    <row r="3" spans="1:14" ht="22" hidden="1" customHeight="1" x14ac:dyDescent="0.35">
      <c r="A3" s="26" t="s">
        <v>1</v>
      </c>
      <c r="B3" s="29" t="s">
        <v>61</v>
      </c>
      <c r="C3" s="28" t="s">
        <v>2</v>
      </c>
      <c r="D3" s="27"/>
      <c r="E3" s="19"/>
      <c r="F3" s="21" t="s">
        <v>3</v>
      </c>
      <c r="G3" s="19"/>
      <c r="H3" s="19"/>
      <c r="I3" s="19"/>
      <c r="J3" s="19"/>
      <c r="K3" s="19"/>
      <c r="L3" s="19"/>
      <c r="M3" s="19"/>
      <c r="N3" s="19"/>
    </row>
    <row r="4" spans="1:14" ht="6" customHeight="1" x14ac:dyDescent="0.35"/>
    <row r="5" spans="1:14" ht="20" customHeight="1" x14ac:dyDescent="0.35">
      <c r="A5" s="1"/>
      <c r="B5" s="2" t="s">
        <v>4</v>
      </c>
      <c r="C5" s="20" t="s">
        <v>5</v>
      </c>
      <c r="D5" s="19"/>
      <c r="E5" s="19"/>
      <c r="F5" s="19"/>
      <c r="G5" s="19"/>
      <c r="H5" s="19"/>
      <c r="I5" s="23" t="s">
        <v>6</v>
      </c>
      <c r="J5" s="19"/>
      <c r="K5" s="19"/>
      <c r="L5" s="19"/>
      <c r="M5" s="19"/>
      <c r="N5" s="19"/>
    </row>
    <row r="6" spans="1:14" ht="20" customHeight="1" x14ac:dyDescent="0.35">
      <c r="A6" s="4" t="s">
        <v>7</v>
      </c>
      <c r="B6" s="4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24" t="s">
        <v>15</v>
      </c>
      <c r="J6" s="24" t="s">
        <v>16</v>
      </c>
      <c r="K6" s="24" t="s">
        <v>17</v>
      </c>
      <c r="L6" s="24" t="s">
        <v>18</v>
      </c>
      <c r="M6" s="24" t="s">
        <v>19</v>
      </c>
      <c r="N6" s="24" t="s">
        <v>20</v>
      </c>
    </row>
    <row r="7" spans="1:14" ht="16" hidden="1" customHeight="1" x14ac:dyDescent="0.35">
      <c r="A7" s="6" t="s">
        <v>21</v>
      </c>
      <c r="B7" s="7" t="s">
        <v>22</v>
      </c>
      <c r="C7" s="8" t="s">
        <v>23</v>
      </c>
      <c r="D7" s="8" t="s">
        <v>23</v>
      </c>
      <c r="E7" s="8" t="s">
        <v>23</v>
      </c>
      <c r="F7" s="8" t="s">
        <v>25</v>
      </c>
      <c r="G7" s="8" t="s">
        <v>23</v>
      </c>
      <c r="H7" s="8" t="s">
        <v>23</v>
      </c>
      <c r="I7" s="8" t="s">
        <v>24</v>
      </c>
      <c r="J7" s="8" t="s">
        <v>26</v>
      </c>
      <c r="K7" s="8"/>
      <c r="L7" s="8" t="s">
        <v>27</v>
      </c>
      <c r="M7" s="8" t="s">
        <v>28</v>
      </c>
      <c r="N7" s="8" t="s">
        <v>24</v>
      </c>
    </row>
    <row r="8" spans="1:14" ht="30" customHeight="1" x14ac:dyDescent="0.35">
      <c r="A8" s="9" t="s">
        <v>29</v>
      </c>
      <c r="B8" s="33" t="s">
        <v>64</v>
      </c>
      <c r="C8" s="8" t="s">
        <v>23</v>
      </c>
      <c r="D8" s="8" t="s">
        <v>23</v>
      </c>
      <c r="E8" s="8" t="s">
        <v>23</v>
      </c>
      <c r="F8" s="8" t="s">
        <v>23</v>
      </c>
      <c r="G8" s="8" t="s">
        <v>23</v>
      </c>
      <c r="H8" s="11" t="s">
        <v>60</v>
      </c>
      <c r="I8" s="30" t="s">
        <v>62</v>
      </c>
      <c r="J8" s="11" t="s">
        <v>60</v>
      </c>
      <c r="K8" s="11" t="s">
        <v>60</v>
      </c>
      <c r="L8" s="11" t="s">
        <v>60</v>
      </c>
      <c r="M8" s="30" t="s">
        <v>62</v>
      </c>
      <c r="N8" s="11" t="s">
        <v>60</v>
      </c>
    </row>
    <row r="9" spans="1:14" ht="30" customHeight="1" x14ac:dyDescent="0.35">
      <c r="A9" s="12" t="s">
        <v>30</v>
      </c>
      <c r="B9" s="13" t="s">
        <v>31</v>
      </c>
      <c r="C9" s="8" t="s">
        <v>23</v>
      </c>
      <c r="D9" s="8" t="s">
        <v>23</v>
      </c>
      <c r="E9" s="8" t="s">
        <v>23</v>
      </c>
      <c r="F9" s="8" t="s">
        <v>23</v>
      </c>
      <c r="G9" s="8" t="s">
        <v>23</v>
      </c>
      <c r="H9" s="14" t="s">
        <v>60</v>
      </c>
      <c r="I9" s="11" t="s">
        <v>62</v>
      </c>
      <c r="J9" s="11" t="s">
        <v>60</v>
      </c>
      <c r="K9" s="11" t="s">
        <v>60</v>
      </c>
      <c r="L9" s="11" t="s">
        <v>60</v>
      </c>
      <c r="M9" s="30" t="s">
        <v>62</v>
      </c>
      <c r="N9" s="11" t="s">
        <v>60</v>
      </c>
    </row>
    <row r="10" spans="1:14" ht="30" customHeight="1" x14ac:dyDescent="0.35">
      <c r="A10" s="9" t="s">
        <v>32</v>
      </c>
      <c r="B10" s="10" t="s">
        <v>33</v>
      </c>
      <c r="C10" s="8" t="s">
        <v>23</v>
      </c>
      <c r="D10" s="8" t="s">
        <v>23</v>
      </c>
      <c r="E10" s="8" t="s">
        <v>23</v>
      </c>
      <c r="F10" s="31" t="s">
        <v>23</v>
      </c>
      <c r="G10" s="8" t="s">
        <v>23</v>
      </c>
      <c r="H10" s="30" t="s">
        <v>62</v>
      </c>
      <c r="I10" s="11" t="s">
        <v>62</v>
      </c>
      <c r="J10" s="11" t="s">
        <v>60</v>
      </c>
      <c r="K10" s="11" t="s">
        <v>60</v>
      </c>
      <c r="L10" s="11" t="s">
        <v>60</v>
      </c>
      <c r="M10" s="30" t="s">
        <v>62</v>
      </c>
      <c r="N10" s="11" t="s">
        <v>60</v>
      </c>
    </row>
    <row r="11" spans="1:14" ht="30" customHeight="1" x14ac:dyDescent="0.35">
      <c r="A11" s="12" t="s">
        <v>34</v>
      </c>
      <c r="B11" s="13" t="s">
        <v>35</v>
      </c>
      <c r="C11" s="8" t="s">
        <v>23</v>
      </c>
      <c r="D11" s="8" t="s">
        <v>23</v>
      </c>
      <c r="E11" s="8" t="s">
        <v>23</v>
      </c>
      <c r="F11" s="30" t="s">
        <v>23</v>
      </c>
      <c r="G11" s="8" t="s">
        <v>23</v>
      </c>
      <c r="H11" s="30" t="s">
        <v>62</v>
      </c>
      <c r="I11" s="11" t="s">
        <v>62</v>
      </c>
      <c r="J11" s="11" t="s">
        <v>60</v>
      </c>
      <c r="K11" s="11" t="s">
        <v>60</v>
      </c>
      <c r="L11" s="11" t="s">
        <v>60</v>
      </c>
      <c r="M11" s="30" t="s">
        <v>62</v>
      </c>
      <c r="N11" s="11" t="s">
        <v>60</v>
      </c>
    </row>
    <row r="12" spans="1:14" ht="30" customHeight="1" x14ac:dyDescent="0.35">
      <c r="A12" s="9" t="s">
        <v>36</v>
      </c>
      <c r="B12" s="10" t="s">
        <v>37</v>
      </c>
      <c r="C12" s="8" t="s">
        <v>23</v>
      </c>
      <c r="D12" s="8" t="s">
        <v>23</v>
      </c>
      <c r="E12" s="8" t="s">
        <v>23</v>
      </c>
      <c r="F12" s="30" t="s">
        <v>62</v>
      </c>
      <c r="G12" s="8" t="s">
        <v>23</v>
      </c>
      <c r="H12" s="30" t="s">
        <v>62</v>
      </c>
      <c r="I12" s="11" t="s">
        <v>62</v>
      </c>
      <c r="J12" s="11" t="s">
        <v>60</v>
      </c>
      <c r="K12" s="11" t="s">
        <v>60</v>
      </c>
      <c r="L12" s="11" t="s">
        <v>60</v>
      </c>
      <c r="M12" s="30" t="s">
        <v>62</v>
      </c>
      <c r="N12" s="11" t="s">
        <v>60</v>
      </c>
    </row>
    <row r="13" spans="1:14" ht="30" customHeight="1" x14ac:dyDescent="0.35">
      <c r="A13" s="12" t="s">
        <v>38</v>
      </c>
      <c r="B13" s="13" t="s">
        <v>39</v>
      </c>
      <c r="C13" s="8" t="s">
        <v>23</v>
      </c>
      <c r="D13" s="8" t="s">
        <v>23</v>
      </c>
      <c r="E13" s="8" t="s">
        <v>23</v>
      </c>
      <c r="F13" s="30" t="s">
        <v>62</v>
      </c>
      <c r="G13" s="8" t="s">
        <v>23</v>
      </c>
      <c r="H13" s="30" t="s">
        <v>62</v>
      </c>
      <c r="I13" s="11" t="s">
        <v>62</v>
      </c>
      <c r="J13" s="11" t="s">
        <v>60</v>
      </c>
      <c r="K13" s="11" t="s">
        <v>60</v>
      </c>
      <c r="L13" s="11" t="s">
        <v>60</v>
      </c>
      <c r="M13" s="30" t="s">
        <v>62</v>
      </c>
      <c r="N13" s="11" t="s">
        <v>60</v>
      </c>
    </row>
    <row r="14" spans="1:14" ht="30" customHeight="1" x14ac:dyDescent="0.35">
      <c r="A14" s="9" t="s">
        <v>40</v>
      </c>
      <c r="B14" s="10" t="s">
        <v>41</v>
      </c>
      <c r="C14" s="8" t="s">
        <v>23</v>
      </c>
      <c r="D14" s="8" t="s">
        <v>23</v>
      </c>
      <c r="E14" s="8" t="s">
        <v>23</v>
      </c>
      <c r="F14" s="30" t="s">
        <v>23</v>
      </c>
      <c r="G14" s="8" t="s">
        <v>23</v>
      </c>
      <c r="H14" s="30" t="s">
        <v>62</v>
      </c>
      <c r="I14" s="11" t="s">
        <v>62</v>
      </c>
      <c r="J14" s="11" t="s">
        <v>60</v>
      </c>
      <c r="K14" s="11" t="s">
        <v>60</v>
      </c>
      <c r="L14" s="11" t="s">
        <v>60</v>
      </c>
      <c r="M14" s="30" t="s">
        <v>62</v>
      </c>
      <c r="N14" s="11" t="s">
        <v>60</v>
      </c>
    </row>
    <row r="15" spans="1:14" ht="30" customHeight="1" x14ac:dyDescent="0.35">
      <c r="A15" s="12" t="s">
        <v>42</v>
      </c>
      <c r="B15" s="13" t="s">
        <v>43</v>
      </c>
      <c r="C15" s="8" t="s">
        <v>23</v>
      </c>
      <c r="D15" s="8" t="s">
        <v>23</v>
      </c>
      <c r="E15" s="8" t="s">
        <v>23</v>
      </c>
      <c r="F15" s="30" t="s">
        <v>23</v>
      </c>
      <c r="G15" s="8" t="s">
        <v>23</v>
      </c>
      <c r="H15" s="30" t="s">
        <v>62</v>
      </c>
      <c r="I15" s="11" t="s">
        <v>62</v>
      </c>
      <c r="J15" s="11" t="s">
        <v>60</v>
      </c>
      <c r="K15" s="11" t="s">
        <v>60</v>
      </c>
      <c r="L15" s="11" t="s">
        <v>60</v>
      </c>
      <c r="M15" s="30" t="s">
        <v>62</v>
      </c>
      <c r="N15" s="11" t="s">
        <v>60</v>
      </c>
    </row>
    <row r="16" spans="1:14" ht="30" customHeight="1" x14ac:dyDescent="0.35">
      <c r="A16" s="9" t="s">
        <v>44</v>
      </c>
      <c r="B16" s="10" t="s">
        <v>45</v>
      </c>
      <c r="C16" s="8" t="s">
        <v>23</v>
      </c>
      <c r="D16" s="8" t="s">
        <v>23</v>
      </c>
      <c r="E16" s="8" t="s">
        <v>23</v>
      </c>
      <c r="F16" s="30" t="s">
        <v>23</v>
      </c>
      <c r="G16" s="8" t="s">
        <v>23</v>
      </c>
      <c r="H16" s="30" t="s">
        <v>62</v>
      </c>
      <c r="I16" s="11" t="s">
        <v>62</v>
      </c>
      <c r="J16" s="11" t="s">
        <v>60</v>
      </c>
      <c r="K16" s="11" t="s">
        <v>60</v>
      </c>
      <c r="L16" s="11" t="s">
        <v>60</v>
      </c>
      <c r="M16" s="30" t="s">
        <v>62</v>
      </c>
      <c r="N16" s="11" t="s">
        <v>60</v>
      </c>
    </row>
    <row r="17" spans="1:14" ht="30" customHeight="1" x14ac:dyDescent="0.35">
      <c r="A17" s="12" t="s">
        <v>46</v>
      </c>
      <c r="B17" s="13" t="s">
        <v>47</v>
      </c>
      <c r="C17" s="8" t="s">
        <v>23</v>
      </c>
      <c r="D17" s="8" t="s">
        <v>23</v>
      </c>
      <c r="E17" s="8" t="s">
        <v>23</v>
      </c>
      <c r="F17" s="30" t="s">
        <v>23</v>
      </c>
      <c r="G17" s="8" t="s">
        <v>23</v>
      </c>
      <c r="H17" s="30" t="s">
        <v>62</v>
      </c>
      <c r="I17" s="11" t="s">
        <v>62</v>
      </c>
      <c r="J17" s="11" t="s">
        <v>60</v>
      </c>
      <c r="K17" s="11" t="s">
        <v>60</v>
      </c>
      <c r="L17" s="11" t="s">
        <v>60</v>
      </c>
      <c r="M17" s="30" t="s">
        <v>62</v>
      </c>
      <c r="N17" s="11" t="s">
        <v>60</v>
      </c>
    </row>
    <row r="18" spans="1:14" ht="30" customHeight="1" x14ac:dyDescent="0.35">
      <c r="A18" s="9" t="s">
        <v>48</v>
      </c>
      <c r="B18" s="10" t="s">
        <v>49</v>
      </c>
      <c r="C18" s="8" t="s">
        <v>23</v>
      </c>
      <c r="D18" s="8" t="s">
        <v>23</v>
      </c>
      <c r="E18" s="8" t="s">
        <v>23</v>
      </c>
      <c r="F18" s="30" t="s">
        <v>62</v>
      </c>
      <c r="G18" s="8" t="s">
        <v>23</v>
      </c>
      <c r="H18" s="30" t="s">
        <v>62</v>
      </c>
      <c r="I18" s="11" t="s">
        <v>62</v>
      </c>
      <c r="J18" s="11" t="s">
        <v>60</v>
      </c>
      <c r="K18" s="11" t="s">
        <v>60</v>
      </c>
      <c r="L18" s="11" t="s">
        <v>60</v>
      </c>
      <c r="M18" s="30" t="s">
        <v>62</v>
      </c>
      <c r="N18" s="11" t="s">
        <v>60</v>
      </c>
    </row>
    <row r="19" spans="1:14" ht="30" customHeight="1" x14ac:dyDescent="0.35">
      <c r="A19" s="12" t="s">
        <v>50</v>
      </c>
      <c r="B19" s="13" t="s">
        <v>51</v>
      </c>
      <c r="C19" s="8" t="s">
        <v>23</v>
      </c>
      <c r="D19" s="8" t="s">
        <v>23</v>
      </c>
      <c r="E19" s="8" t="s">
        <v>23</v>
      </c>
      <c r="F19" s="30" t="s">
        <v>62</v>
      </c>
      <c r="G19" s="8" t="s">
        <v>23</v>
      </c>
      <c r="H19" s="30" t="s">
        <v>62</v>
      </c>
      <c r="I19" s="11" t="s">
        <v>62</v>
      </c>
      <c r="J19" s="11" t="s">
        <v>60</v>
      </c>
      <c r="K19" s="11" t="s">
        <v>60</v>
      </c>
      <c r="L19" s="11" t="s">
        <v>60</v>
      </c>
      <c r="M19" s="30" t="s">
        <v>62</v>
      </c>
      <c r="N19" s="11" t="s">
        <v>60</v>
      </c>
    </row>
    <row r="20" spans="1:14" ht="30" customHeight="1" x14ac:dyDescent="0.35">
      <c r="A20" s="9" t="s">
        <v>52</v>
      </c>
      <c r="B20" s="10" t="s">
        <v>53</v>
      </c>
      <c r="C20" s="8" t="s">
        <v>23</v>
      </c>
      <c r="D20" s="8" t="s">
        <v>23</v>
      </c>
      <c r="E20" s="8" t="s">
        <v>23</v>
      </c>
      <c r="F20" s="30" t="s">
        <v>62</v>
      </c>
      <c r="G20" s="8" t="s">
        <v>23</v>
      </c>
      <c r="H20" s="30" t="s">
        <v>62</v>
      </c>
      <c r="I20" s="11" t="s">
        <v>62</v>
      </c>
      <c r="J20" s="11" t="s">
        <v>60</v>
      </c>
      <c r="K20" s="11" t="s">
        <v>60</v>
      </c>
      <c r="L20" s="11" t="s">
        <v>60</v>
      </c>
      <c r="M20" s="30" t="s">
        <v>62</v>
      </c>
      <c r="N20" s="11" t="s">
        <v>60</v>
      </c>
    </row>
    <row r="21" spans="1:14" ht="30" customHeight="1" x14ac:dyDescent="0.35">
      <c r="A21" s="12" t="s">
        <v>54</v>
      </c>
      <c r="B21" s="13" t="s">
        <v>55</v>
      </c>
      <c r="C21" s="8" t="s">
        <v>23</v>
      </c>
      <c r="D21" s="8" t="s">
        <v>23</v>
      </c>
      <c r="E21" s="8" t="s">
        <v>23</v>
      </c>
      <c r="F21" s="30" t="s">
        <v>62</v>
      </c>
      <c r="G21" s="8" t="s">
        <v>23</v>
      </c>
      <c r="H21" s="30" t="s">
        <v>62</v>
      </c>
      <c r="I21" s="11" t="s">
        <v>62</v>
      </c>
      <c r="J21" s="11" t="s">
        <v>60</v>
      </c>
      <c r="K21" s="11" t="s">
        <v>60</v>
      </c>
      <c r="L21" s="11" t="s">
        <v>60</v>
      </c>
      <c r="M21" s="30" t="s">
        <v>62</v>
      </c>
      <c r="N21" s="11" t="s">
        <v>60</v>
      </c>
    </row>
    <row r="22" spans="1:14" ht="20" customHeight="1" x14ac:dyDescent="0.35">
      <c r="A22" s="4" t="s">
        <v>56</v>
      </c>
      <c r="B22" s="15" t="s">
        <v>57</v>
      </c>
      <c r="C22" s="3">
        <f t="shared" ref="C22:N22" si="0">COUNTIF(C8:C21,"*✓*")</f>
        <v>14</v>
      </c>
      <c r="D22" s="3">
        <f t="shared" si="0"/>
        <v>14</v>
      </c>
      <c r="E22" s="3">
        <f t="shared" si="0"/>
        <v>14</v>
      </c>
      <c r="F22" s="3">
        <f t="shared" si="0"/>
        <v>8</v>
      </c>
      <c r="G22" s="3">
        <f t="shared" si="0"/>
        <v>14</v>
      </c>
      <c r="H22" s="3">
        <f t="shared" si="0"/>
        <v>0</v>
      </c>
      <c r="I22" s="25">
        <f t="shared" si="0"/>
        <v>0</v>
      </c>
      <c r="J22" s="25">
        <f t="shared" si="0"/>
        <v>0</v>
      </c>
      <c r="K22" s="25">
        <f t="shared" si="0"/>
        <v>0</v>
      </c>
      <c r="L22" s="25">
        <f t="shared" si="0"/>
        <v>0</v>
      </c>
      <c r="M22" s="25">
        <f t="shared" si="0"/>
        <v>0</v>
      </c>
      <c r="N22" s="25">
        <f t="shared" si="0"/>
        <v>0</v>
      </c>
    </row>
    <row r="23" spans="1:14" ht="18" customHeight="1" x14ac:dyDescent="0.35">
      <c r="A23" s="16" t="s">
        <v>58</v>
      </c>
      <c r="B23" s="17" t="s">
        <v>59</v>
      </c>
      <c r="C23" s="18">
        <f t="shared" ref="C23:N23" si="1">C22/14</f>
        <v>1</v>
      </c>
      <c r="D23" s="18">
        <f t="shared" si="1"/>
        <v>1</v>
      </c>
      <c r="E23" s="18">
        <f t="shared" si="1"/>
        <v>1</v>
      </c>
      <c r="F23" s="18">
        <f t="shared" si="1"/>
        <v>0.5714285714285714</v>
      </c>
      <c r="G23" s="18">
        <f t="shared" si="1"/>
        <v>1</v>
      </c>
      <c r="H23" s="18">
        <f t="shared" si="1"/>
        <v>0</v>
      </c>
      <c r="I23" s="18">
        <f t="shared" si="1"/>
        <v>0</v>
      </c>
      <c r="J23" s="18">
        <f t="shared" si="1"/>
        <v>0</v>
      </c>
      <c r="K23" s="18">
        <f t="shared" si="1"/>
        <v>0</v>
      </c>
      <c r="L23" s="18">
        <f t="shared" si="1"/>
        <v>0</v>
      </c>
      <c r="M23" s="18">
        <f t="shared" si="1"/>
        <v>0</v>
      </c>
      <c r="N23" s="18">
        <f t="shared" si="1"/>
        <v>0</v>
      </c>
    </row>
  </sheetData>
  <mergeCells count="6">
    <mergeCell ref="A1:N1"/>
    <mergeCell ref="I5:N5"/>
    <mergeCell ref="C5:H5"/>
    <mergeCell ref="A2:N2"/>
    <mergeCell ref="C3:E3"/>
    <mergeCell ref="F3:N3"/>
  </mergeCells>
  <phoneticPr fontId="17" type="noConversion"/>
  <conditionalFormatting sqref="C8:N21">
    <cfRule type="expression" dxfId="3" priority="1" stopIfTrue="1">
      <formula>ISNUMBER(SEARCH("✓",C8))</formula>
    </cfRule>
  </conditionalFormatting>
  <conditionalFormatting sqref="C8:N21">
    <cfRule type="expression" dxfId="2" priority="2" stopIfTrue="1">
      <formula>ISNUMBER(SEARCH("✗",C8))</formula>
    </cfRule>
  </conditionalFormatting>
  <conditionalFormatting sqref="C8:N21">
    <cfRule type="expression" dxfId="1" priority="3" stopIfTrue="1">
      <formula>EXACT(C8,"—")</formula>
    </cfRule>
  </conditionalFormatting>
  <conditionalFormatting sqref="C8:N21">
    <cfRule type="expression" dxfId="0" priority="4" stopIfTrue="1">
      <formula>LEN(C8)&gt;0</formula>
    </cfRule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Matriz Linha x Recurso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Ermirio Bonfim</cp:lastModifiedBy>
  <dcterms:created xsi:type="dcterms:W3CDTF">2026-07-24T12:33:19Z</dcterms:created>
  <dcterms:modified xsi:type="dcterms:W3CDTF">2026-07-24T14:18:04Z</dcterms:modified>
</cp:coreProperties>
</file>